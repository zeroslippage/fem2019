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ŞET\Downloads\fem2019-1-e57b873c55c42a3e232e83e33a4ad2a3ae4205e5\fem2019-1-e57b873c55c42a3e232e83e33a4ad2a3ae4205e5\"/>
    </mc:Choice>
  </mc:AlternateContent>
  <bookViews>
    <workbookView xWindow="0" yWindow="0" windowWidth="24000" windowHeight="9750" activeTab="3"/>
    <workbookView xWindow="0" yWindow="0" windowWidth="10365" windowHeight="8025" activeTab="1"/>
  </bookViews>
  <sheets>
    <sheet name="Nodes" sheetId="1" r:id="rId1"/>
    <sheet name="Elements" sheetId="2" r:id="rId2"/>
    <sheet name="Ke" sheetId="3" r:id="rId3"/>
    <sheet name="Ks" sheetId="4" r:id="rId4"/>
    <sheet name="Sheet1" sheetId="5" r:id="rId5"/>
  </sheets>
  <definedNames>
    <definedName name="code">Ke!$D$6:$E$6</definedName>
    <definedName name="disp">Ks!$G$2:$H$7</definedName>
    <definedName name="el_count">Ke!$B$2</definedName>
    <definedName name="el_id">Ke!$B$1</definedName>
    <definedName name="elements">Elements!$A:$H</definedName>
    <definedName name="KElement">Ke!$D$7:$E$8</definedName>
    <definedName name="KSystem">Ks!$A$2:$F$7</definedName>
    <definedName name="nodes">Nodes!$A:$E</definedName>
    <definedName name="qElement">Ke!$H$7:$H$8</definedName>
    <definedName name="qSystem">Ks!$J$2:$J$6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2" l="1"/>
  <c r="G6" i="2"/>
  <c r="E6" i="2"/>
  <c r="B2" i="3" l="1"/>
  <c r="B6" i="3"/>
  <c r="L4" i="4"/>
  <c r="L2" i="4"/>
  <c r="H2" i="4" l="1" a="1"/>
  <c r="H2" i="4" s="1"/>
  <c r="B3" i="3"/>
  <c r="G3" i="2"/>
  <c r="H3" i="2"/>
  <c r="G4" i="2"/>
  <c r="H4" i="2"/>
  <c r="G5" i="2"/>
  <c r="D6" i="3" s="1"/>
  <c r="C7" i="3" s="1"/>
  <c r="H5" i="2"/>
  <c r="H2" i="2"/>
  <c r="G2" i="2"/>
  <c r="E3" i="2"/>
  <c r="E4" i="2"/>
  <c r="E5" i="2"/>
  <c r="E2" i="2"/>
  <c r="H2" i="1"/>
  <c r="B4" i="3" l="1"/>
  <c r="E3" i="3" s="1"/>
  <c r="E6" i="3"/>
  <c r="C8" i="3" s="1"/>
  <c r="H3" i="4"/>
  <c r="H4" i="4"/>
  <c r="H8" i="3" l="1"/>
  <c r="B5" i="3"/>
  <c r="D7" i="3" s="1"/>
  <c r="H7" i="3"/>
  <c r="F7" i="3"/>
  <c r="K5" i="4" a="1"/>
  <c r="K5" i="4" s="1"/>
  <c r="L5" i="4" s="1"/>
  <c r="F8" i="3"/>
  <c r="E8" i="3"/>
  <c r="E7" i="3"/>
  <c r="D8" i="3" s="1"/>
  <c r="K6" i="4" l="1"/>
  <c r="L6" i="4" s="1"/>
  <c r="J7" i="3" a="1"/>
  <c r="J8" i="3" l="1"/>
  <c r="J7" i="3"/>
  <c r="E4" i="3" s="1"/>
</calcChain>
</file>

<file path=xl/sharedStrings.xml><?xml version="1.0" encoding="utf-8"?>
<sst xmlns="http://schemas.openxmlformats.org/spreadsheetml/2006/main" count="35" uniqueCount="28">
  <si>
    <t>ID</t>
  </si>
  <si>
    <t>X</t>
  </si>
  <si>
    <t>rx</t>
  </si>
  <si>
    <t>ux</t>
  </si>
  <si>
    <t>Px</t>
  </si>
  <si>
    <t>NID</t>
  </si>
  <si>
    <t>na</t>
  </si>
  <si>
    <t>nb</t>
  </si>
  <si>
    <t>EA</t>
  </si>
  <si>
    <t>L</t>
  </si>
  <si>
    <t>c1</t>
  </si>
  <si>
    <t>c2</t>
  </si>
  <si>
    <t>q</t>
  </si>
  <si>
    <t>EL_ID:</t>
  </si>
  <si>
    <t>EA/L</t>
  </si>
  <si>
    <t>u</t>
  </si>
  <si>
    <t>=</t>
  </si>
  <si>
    <t>qe</t>
  </si>
  <si>
    <t>Qe</t>
  </si>
  <si>
    <t>+</t>
  </si>
  <si>
    <t>Ks</t>
  </si>
  <si>
    <t>us</t>
  </si>
  <si>
    <t>P</t>
  </si>
  <si>
    <t>q+P</t>
  </si>
  <si>
    <t>N</t>
  </si>
  <si>
    <t>x</t>
  </si>
  <si>
    <t>x/L</t>
  </si>
  <si>
    <t>EL_COUNT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</si>
</sst>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1" xfId="0" applyBorder="1"/>
    <xf numFmtId="0" fontId="0" fillId="0" borderId="0" xfId="0" quotePrefix="1" applyAlignment="1">
      <alignment horizontal="center"/>
    </xf>
    <xf numFmtId="0" fontId="0" fillId="0" borderId="8" xfId="0" applyBorder="1"/>
    <xf numFmtId="0" fontId="0" fillId="2" borderId="0" xfId="0" applyFill="1"/>
    <xf numFmtId="0" fontId="0" fillId="0" borderId="0" xfId="0" applyFill="1"/>
    <xf numFmtId="0" fontId="0" fillId="0" borderId="0" xfId="0" quotePrefix="1"/>
    <xf numFmtId="0" fontId="0" fillId="0" borderId="9" xfId="0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/>
    <xf numFmtId="0" fontId="0" fillId="0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0" borderId="20" xfId="0" applyBorder="1"/>
    <xf numFmtId="0" fontId="0" fillId="0" borderId="2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8</xdr:row>
          <xdr:rowOff>47625</xdr:rowOff>
        </xdr:from>
        <xdr:to>
          <xdr:col>4</xdr:col>
          <xdr:colOff>47625</xdr:colOff>
          <xdr:row>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GO!!!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zoomScale="98" zoomScaleNormal="98" workbookViewId="0">
      <selection activeCell="B14" sqref="B14"/>
    </sheetView>
    <sheetView workbookViewId="1">
      <selection activeCell="D2" sqref="D2"/>
    </sheetView>
  </sheetViews>
  <sheetFormatPr defaultRowHeight="15" x14ac:dyDescent="0.25"/>
  <cols>
    <col min="1" max="16384" width="9.140625" style="1"/>
  </cols>
  <sheetData>
    <row r="1" spans="1:8" s="2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G1" s="2" t="s">
        <v>5</v>
      </c>
      <c r="H1" s="2" t="s">
        <v>1</v>
      </c>
    </row>
    <row r="2" spans="1:8" x14ac:dyDescent="0.25">
      <c r="A2" s="1">
        <v>1</v>
      </c>
      <c r="B2" s="1">
        <v>2</v>
      </c>
      <c r="C2" s="1">
        <v>1</v>
      </c>
      <c r="D2" s="1">
        <v>6</v>
      </c>
      <c r="G2" s="1">
        <v>5</v>
      </c>
      <c r="H2" s="1">
        <f>VLOOKUP(G2,nodes,2,FALSE)</f>
        <v>10</v>
      </c>
    </row>
    <row r="3" spans="1:8" x14ac:dyDescent="0.25">
      <c r="A3" s="1">
        <v>2</v>
      </c>
      <c r="B3" s="1">
        <v>4</v>
      </c>
      <c r="C3" s="1">
        <v>0</v>
      </c>
      <c r="D3" s="1">
        <v>1</v>
      </c>
      <c r="E3" s="1">
        <v>8</v>
      </c>
    </row>
    <row r="4" spans="1:8" x14ac:dyDescent="0.25">
      <c r="A4" s="1">
        <v>3</v>
      </c>
      <c r="B4" s="1">
        <v>6</v>
      </c>
      <c r="C4" s="1">
        <v>0</v>
      </c>
      <c r="D4" s="1">
        <v>2</v>
      </c>
      <c r="E4" s="1">
        <v>0</v>
      </c>
    </row>
    <row r="5" spans="1:8" x14ac:dyDescent="0.25">
      <c r="A5" s="1">
        <v>4</v>
      </c>
      <c r="B5" s="1">
        <v>8</v>
      </c>
      <c r="C5" s="1">
        <v>0</v>
      </c>
      <c r="D5" s="1">
        <v>3</v>
      </c>
      <c r="E5" s="1">
        <v>0</v>
      </c>
    </row>
    <row r="6" spans="1:8" x14ac:dyDescent="0.25">
      <c r="A6" s="1">
        <v>5</v>
      </c>
      <c r="B6" s="1">
        <v>10</v>
      </c>
      <c r="C6" s="1">
        <v>0</v>
      </c>
      <c r="D6" s="1">
        <v>4</v>
      </c>
      <c r="E6" s="1">
        <v>-6</v>
      </c>
    </row>
    <row r="7" spans="1:8" x14ac:dyDescent="0.25">
      <c r="A7" s="1">
        <v>6</v>
      </c>
      <c r="B7" s="1">
        <v>12</v>
      </c>
      <c r="C7" s="1">
        <v>0</v>
      </c>
      <c r="D7" s="1">
        <v>5</v>
      </c>
      <c r="E7" s="1">
        <v>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"/>
  <sheetViews>
    <sheetView zoomScale="106" zoomScaleNormal="106" workbookViewId="0">
      <selection activeCell="H9" sqref="H9"/>
    </sheetView>
    <sheetView tabSelected="1" workbookViewId="1"/>
  </sheetViews>
  <sheetFormatPr defaultRowHeight="15" x14ac:dyDescent="0.25"/>
  <cols>
    <col min="1" max="3" width="6.28515625" style="4" customWidth="1"/>
    <col min="4" max="4" width="8.140625" style="4" customWidth="1"/>
    <col min="5" max="8" width="6.28515625" style="4" customWidth="1"/>
    <col min="9" max="16384" width="9.140625" style="4"/>
  </cols>
  <sheetData>
    <row r="1" spans="1:8" s="2" customFormat="1" x14ac:dyDescent="0.25">
      <c r="A1" s="2" t="s">
        <v>0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12</v>
      </c>
      <c r="G1" s="2" t="s">
        <v>10</v>
      </c>
      <c r="H1" s="2" t="s">
        <v>11</v>
      </c>
    </row>
    <row r="2" spans="1:8" x14ac:dyDescent="0.25">
      <c r="A2" s="4">
        <v>1</v>
      </c>
      <c r="B2" s="4">
        <v>1</v>
      </c>
      <c r="C2" s="4">
        <v>2</v>
      </c>
      <c r="D2" s="4">
        <v>1000</v>
      </c>
      <c r="E2" s="4">
        <f>VLOOKUP(C2,nodes,2,FALSE)-VLOOKUP(B2,nodes,2,FALSE)</f>
        <v>2</v>
      </c>
      <c r="F2" s="4">
        <v>0</v>
      </c>
      <c r="G2" s="4">
        <f t="shared" ref="G2:H6" si="0">VLOOKUP(B2,nodes,4,FALSE)</f>
        <v>6</v>
      </c>
      <c r="H2" s="4">
        <f t="shared" si="0"/>
        <v>1</v>
      </c>
    </row>
    <row r="3" spans="1:8" x14ac:dyDescent="0.25">
      <c r="A3" s="4">
        <v>2</v>
      </c>
      <c r="B3" s="4">
        <v>2</v>
      </c>
      <c r="C3" s="4">
        <v>3</v>
      </c>
      <c r="D3" s="4">
        <v>2000</v>
      </c>
      <c r="E3" s="4">
        <f>VLOOKUP(C3,nodes,2,FALSE)-VLOOKUP(B3,nodes,2,FALSE)</f>
        <v>2</v>
      </c>
      <c r="F3" s="4">
        <v>5</v>
      </c>
      <c r="G3" s="4">
        <f t="shared" si="0"/>
        <v>1</v>
      </c>
      <c r="H3" s="4">
        <f t="shared" si="0"/>
        <v>2</v>
      </c>
    </row>
    <row r="4" spans="1:8" x14ac:dyDescent="0.25">
      <c r="A4" s="4">
        <v>3</v>
      </c>
      <c r="B4" s="4">
        <v>3</v>
      </c>
      <c r="C4" s="4">
        <v>4</v>
      </c>
      <c r="D4" s="4">
        <v>1000</v>
      </c>
      <c r="E4" s="4">
        <f>VLOOKUP(C4,nodes,2,FALSE)-VLOOKUP(B4,nodes,2,FALSE)</f>
        <v>2</v>
      </c>
      <c r="F4" s="4">
        <v>0</v>
      </c>
      <c r="G4" s="4">
        <f t="shared" si="0"/>
        <v>2</v>
      </c>
      <c r="H4" s="4">
        <f t="shared" si="0"/>
        <v>3</v>
      </c>
    </row>
    <row r="5" spans="1:8" x14ac:dyDescent="0.25">
      <c r="A5" s="4">
        <v>4</v>
      </c>
      <c r="B5" s="4">
        <v>4</v>
      </c>
      <c r="C5" s="4">
        <v>5</v>
      </c>
      <c r="D5" s="4">
        <v>2000</v>
      </c>
      <c r="E5" s="4">
        <f>VLOOKUP(C5,nodes,2,FALSE)-VLOOKUP(B5,nodes,2,FALSE)</f>
        <v>2</v>
      </c>
      <c r="F5" s="4">
        <v>-3</v>
      </c>
      <c r="G5" s="4">
        <f t="shared" si="0"/>
        <v>3</v>
      </c>
      <c r="H5" s="4">
        <f t="shared" si="0"/>
        <v>4</v>
      </c>
    </row>
    <row r="6" spans="1:8" x14ac:dyDescent="0.25">
      <c r="A6" s="4">
        <v>5</v>
      </c>
      <c r="B6" s="4">
        <v>5</v>
      </c>
      <c r="C6" s="4">
        <v>6</v>
      </c>
      <c r="D6" s="4">
        <v>1000</v>
      </c>
      <c r="E6" s="4">
        <f>VLOOKUP(C6,nodes,2,FALSE)-VLOOKUP(B6,nodes,2,FALSE)</f>
        <v>2</v>
      </c>
      <c r="F6" s="4">
        <v>0</v>
      </c>
      <c r="G6" s="4">
        <f t="shared" si="0"/>
        <v>4</v>
      </c>
      <c r="H6" s="4">
        <f t="shared" si="0"/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"/>
  <sheetViews>
    <sheetView zoomScaleNormal="100" workbookViewId="0">
      <selection activeCell="D11" sqref="D11"/>
    </sheetView>
    <sheetView workbookViewId="1"/>
  </sheetViews>
  <sheetFormatPr defaultRowHeight="15" x14ac:dyDescent="0.25"/>
  <cols>
    <col min="1" max="1" width="10.28515625" bestFit="1" customWidth="1"/>
    <col min="7" max="7" width="4.7109375" customWidth="1"/>
    <col min="8" max="8" width="6" bestFit="1" customWidth="1"/>
    <col min="9" max="9" width="4.7109375" customWidth="1"/>
    <col min="10" max="10" width="5" customWidth="1"/>
  </cols>
  <sheetData>
    <row r="1" spans="1:10" x14ac:dyDescent="0.25">
      <c r="A1" s="3" t="s">
        <v>13</v>
      </c>
      <c r="B1">
        <v>5</v>
      </c>
      <c r="D1" t="s">
        <v>26</v>
      </c>
      <c r="E1">
        <v>1</v>
      </c>
    </row>
    <row r="2" spans="1:10" x14ac:dyDescent="0.25">
      <c r="A2" s="3" t="s">
        <v>27</v>
      </c>
      <c r="B2">
        <f>COUNT(Elements!A:A)</f>
        <v>5</v>
      </c>
    </row>
    <row r="3" spans="1:10" x14ac:dyDescent="0.25">
      <c r="A3" t="s">
        <v>8</v>
      </c>
      <c r="B3">
        <f>VLOOKUP(B1,elements,4,FALSE)</f>
        <v>1000</v>
      </c>
      <c r="D3" s="17" t="s">
        <v>25</v>
      </c>
      <c r="E3">
        <f>E1*B4</f>
        <v>2</v>
      </c>
    </row>
    <row r="4" spans="1:10" x14ac:dyDescent="0.25">
      <c r="A4" t="s">
        <v>9</v>
      </c>
      <c r="B4">
        <f>VLOOKUP(B1,elements,5,FALSE)</f>
        <v>2</v>
      </c>
      <c r="D4" t="s">
        <v>24</v>
      </c>
      <c r="E4">
        <f>-J7-B6*E3</f>
        <v>0</v>
      </c>
    </row>
    <row r="5" spans="1:10" x14ac:dyDescent="0.25">
      <c r="A5" t="s">
        <v>14</v>
      </c>
      <c r="B5">
        <f>B3/B4</f>
        <v>500</v>
      </c>
    </row>
    <row r="6" spans="1:10" ht="15.75" thickBot="1" x14ac:dyDescent="0.3">
      <c r="A6" t="s">
        <v>17</v>
      </c>
      <c r="B6">
        <f>VLOOKUP(el_id,elements,6,FALSE)</f>
        <v>0</v>
      </c>
      <c r="C6" s="1"/>
      <c r="D6" s="1">
        <f>VLOOKUP(el_id,elements,7,FALSE)</f>
        <v>4</v>
      </c>
      <c r="E6" s="1">
        <f>VLOOKUP(el_id,elements,8,FALSE)</f>
        <v>5</v>
      </c>
      <c r="F6" s="1" t="s">
        <v>15</v>
      </c>
      <c r="H6" s="1" t="s">
        <v>17</v>
      </c>
      <c r="I6" s="1" t="s">
        <v>19</v>
      </c>
      <c r="J6" s="1" t="s">
        <v>18</v>
      </c>
    </row>
    <row r="7" spans="1:10" ht="15.75" thickBot="1" x14ac:dyDescent="0.3">
      <c r="C7" s="1">
        <f>D6</f>
        <v>4</v>
      </c>
      <c r="D7" s="5">
        <f>B5</f>
        <v>500</v>
      </c>
      <c r="E7" s="6">
        <f>-B5</f>
        <v>-500</v>
      </c>
      <c r="F7" s="9">
        <f>VLOOKUP(C7,disp,2,FALSE)</f>
        <v>0</v>
      </c>
      <c r="G7" t="s">
        <v>16</v>
      </c>
      <c r="H7" s="10">
        <f>VLOOKUP(el_id,elements,6,FALSE)*$B$4/2</f>
        <v>0</v>
      </c>
      <c r="J7" s="10">
        <f t="array" ref="J7:J8">MMULT(D7:E8,F7:F8)-H7:H8</f>
        <v>0</v>
      </c>
    </row>
    <row r="8" spans="1:10" ht="15.75" thickBot="1" x14ac:dyDescent="0.3">
      <c r="C8" s="1">
        <f>E6</f>
        <v>5</v>
      </c>
      <c r="D8" s="7">
        <f>E7</f>
        <v>-500</v>
      </c>
      <c r="E8" s="8">
        <f>B5</f>
        <v>500</v>
      </c>
      <c r="F8" s="9">
        <f>VLOOKUP(C8,disp,2,FALSE)</f>
        <v>0</v>
      </c>
      <c r="H8" s="12">
        <f>VLOOKUP(el_id,elements,6,FALSE)*$B$4/2</f>
        <v>0</v>
      </c>
      <c r="J8" s="1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7"/>
  <sheetViews>
    <sheetView tabSelected="1" zoomScale="98" zoomScaleNormal="98" workbookViewId="0">
      <selection activeCell="C18" sqref="C18"/>
    </sheetView>
    <sheetView workbookViewId="1"/>
  </sheetViews>
  <sheetFormatPr defaultRowHeight="15" x14ac:dyDescent="0.25"/>
  <cols>
    <col min="8" max="8" width="12.42578125" bestFit="1" customWidth="1"/>
    <col min="10" max="12" width="5.5703125" customWidth="1"/>
  </cols>
  <sheetData>
    <row r="1" spans="1:12" ht="15.75" thickBot="1" x14ac:dyDescent="0.3">
      <c r="C1" t="s">
        <v>20</v>
      </c>
      <c r="H1" s="1" t="s">
        <v>21</v>
      </c>
      <c r="I1" s="13" t="s">
        <v>16</v>
      </c>
      <c r="J1" s="1" t="s">
        <v>12</v>
      </c>
      <c r="K1" s="1" t="s">
        <v>22</v>
      </c>
      <c r="L1" s="1" t="s">
        <v>23</v>
      </c>
    </row>
    <row r="2" spans="1:12" x14ac:dyDescent="0.25">
      <c r="A2" s="21">
        <v>1500</v>
      </c>
      <c r="B2" s="22">
        <v>-1000</v>
      </c>
      <c r="C2" s="22">
        <v>0</v>
      </c>
      <c r="D2" s="23">
        <v>0</v>
      </c>
      <c r="E2" s="24">
        <v>0</v>
      </c>
      <c r="F2" s="25">
        <v>-500</v>
      </c>
      <c r="G2" s="32">
        <v>1</v>
      </c>
      <c r="H2" s="34">
        <f t="array" ref="H2:H4">MMULT(MINVERSE(A2:C4), L2:L4)</f>
        <v>1.6666666666666666E-2</v>
      </c>
      <c r="J2" s="10">
        <v>5</v>
      </c>
      <c r="K2" s="10">
        <v>10</v>
      </c>
      <c r="L2" s="15">
        <f>J2+K2</f>
        <v>15</v>
      </c>
    </row>
    <row r="3" spans="1:12" x14ac:dyDescent="0.25">
      <c r="A3" s="26">
        <v>-1000</v>
      </c>
      <c r="B3" s="19">
        <v>1500</v>
      </c>
      <c r="C3" s="19">
        <v>-500</v>
      </c>
      <c r="D3" s="20">
        <v>0</v>
      </c>
      <c r="E3" s="18">
        <v>0</v>
      </c>
      <c r="F3" s="27">
        <v>0</v>
      </c>
      <c r="G3" s="32">
        <v>2</v>
      </c>
      <c r="H3" s="35">
        <v>9.9999999999999985E-3</v>
      </c>
      <c r="J3" s="14">
        <v>5</v>
      </c>
      <c r="K3" s="14">
        <v>0</v>
      </c>
      <c r="L3" s="15">
        <v>0</v>
      </c>
    </row>
    <row r="4" spans="1:12" x14ac:dyDescent="0.25">
      <c r="A4" s="26">
        <v>0</v>
      </c>
      <c r="B4" s="19">
        <v>-500</v>
      </c>
      <c r="C4" s="19">
        <v>1500</v>
      </c>
      <c r="D4" s="20">
        <v>-1000</v>
      </c>
      <c r="E4" s="18">
        <v>0</v>
      </c>
      <c r="F4" s="27">
        <v>0</v>
      </c>
      <c r="G4" s="32">
        <v>3</v>
      </c>
      <c r="H4" s="35">
        <v>-3.3333333333333331E-3</v>
      </c>
      <c r="J4" s="14">
        <v>-3</v>
      </c>
      <c r="K4" s="14">
        <v>-7</v>
      </c>
      <c r="L4" s="15">
        <f t="shared" ref="L4:L6" si="0">J4+K4</f>
        <v>-10</v>
      </c>
    </row>
    <row r="5" spans="1:12" x14ac:dyDescent="0.25">
      <c r="A5" s="28">
        <v>0</v>
      </c>
      <c r="B5" s="18">
        <v>0</v>
      </c>
      <c r="C5" s="18">
        <v>-1000</v>
      </c>
      <c r="D5" s="18">
        <v>1500</v>
      </c>
      <c r="E5" s="18">
        <v>-500</v>
      </c>
      <c r="F5" s="27">
        <v>0</v>
      </c>
      <c r="G5" s="32">
        <v>4</v>
      </c>
      <c r="H5" s="36">
        <v>0</v>
      </c>
      <c r="J5" s="14">
        <v>-3</v>
      </c>
      <c r="K5" s="14">
        <f t="array" ref="K5:K6">MMULT(A5:C6,H2:H4)-J5:J6</f>
        <v>6.333333333333333</v>
      </c>
      <c r="L5" s="16">
        <f t="shared" si="0"/>
        <v>3.333333333333333</v>
      </c>
    </row>
    <row r="6" spans="1:12" x14ac:dyDescent="0.25">
      <c r="A6" s="28">
        <v>0</v>
      </c>
      <c r="B6" s="18">
        <v>0</v>
      </c>
      <c r="C6" s="18">
        <v>0</v>
      </c>
      <c r="D6" s="18">
        <v>-500</v>
      </c>
      <c r="E6" s="18">
        <v>500</v>
      </c>
      <c r="F6" s="27">
        <v>0</v>
      </c>
      <c r="G6" s="32">
        <v>5</v>
      </c>
      <c r="H6" s="36">
        <v>0</v>
      </c>
      <c r="J6" s="14">
        <v>0</v>
      </c>
      <c r="K6" s="14">
        <v>0</v>
      </c>
      <c r="L6" s="16">
        <f t="shared" si="0"/>
        <v>0</v>
      </c>
    </row>
    <row r="7" spans="1:12" ht="15.75" thickBot="1" x14ac:dyDescent="0.3">
      <c r="A7" s="29">
        <v>-500</v>
      </c>
      <c r="B7" s="30">
        <v>0</v>
      </c>
      <c r="C7" s="30">
        <v>0</v>
      </c>
      <c r="D7" s="30">
        <v>0</v>
      </c>
      <c r="E7" s="30">
        <v>0</v>
      </c>
      <c r="F7" s="31">
        <v>500</v>
      </c>
      <c r="G7" s="33">
        <v>6</v>
      </c>
      <c r="H7" s="37"/>
      <c r="J7" s="11">
        <v>0</v>
      </c>
      <c r="K7" s="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O">
                <anchor moveWithCells="1" sizeWithCells="1">
                  <from>
                    <xdr:col>2</xdr:col>
                    <xdr:colOff>485775</xdr:colOff>
                    <xdr:row>8</xdr:row>
                    <xdr:rowOff>47625</xdr:rowOff>
                  </from>
                  <to>
                    <xdr:col>4</xdr:col>
                    <xdr:colOff>47625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P13" sqref="P13"/>
    </sheetView>
    <sheetView workbookViewId="1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10</vt:i4>
      </vt:variant>
    </vt:vector>
  </HeadingPairs>
  <TitlesOfParts>
    <vt:vector size="15" baseType="lpstr">
      <vt:lpstr>Nodes</vt:lpstr>
      <vt:lpstr>Elements</vt:lpstr>
      <vt:lpstr>Ke</vt:lpstr>
      <vt:lpstr>Ks</vt:lpstr>
      <vt:lpstr>Sheet1</vt:lpstr>
      <vt:lpstr>code</vt:lpstr>
      <vt:lpstr>disp</vt:lpstr>
      <vt:lpstr>el_count</vt:lpstr>
      <vt:lpstr>el_id</vt:lpstr>
      <vt:lpstr>elements</vt:lpstr>
      <vt:lpstr>KElement</vt:lpstr>
      <vt:lpstr>KSystem</vt:lpstr>
      <vt:lpstr>nodes</vt:lpstr>
      <vt:lpstr>qElement</vt:lpstr>
      <vt:lpstr>qSystem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macro</dc:creator>
  <cp:lastModifiedBy>NEŞET ÇELEBİ</cp:lastModifiedBy>
  <dcterms:created xsi:type="dcterms:W3CDTF">2019-10-31T08:25:32Z</dcterms:created>
  <dcterms:modified xsi:type="dcterms:W3CDTF">2019-11-13T22:50:51Z</dcterms:modified>
</cp:coreProperties>
</file>